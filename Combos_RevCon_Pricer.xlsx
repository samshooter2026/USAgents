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shooter\US Pricers\"/>
    </mc:Choice>
  </mc:AlternateContent>
  <xr:revisionPtr revIDLastSave="0" documentId="13_ncr:1_{E6E6FD8A-E8C9-4A53-B458-923DE5CA01FF}" xr6:coauthVersionLast="47" xr6:coauthVersionMax="47" xr10:uidLastSave="{00000000-0000-0000-0000-000000000000}"/>
  <bookViews>
    <workbookView xWindow="16890" yWindow="13110" windowWidth="12675" windowHeight="14910" activeTab="1" xr2:uid="{B1FDFDFB-296C-46F7-A6BB-4CD30A24DAC2}"/>
  </bookViews>
  <sheets>
    <sheet name="Sheet1" sheetId="1" r:id="rId1"/>
    <sheet name="BBG Data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7" i="6" l="1"/>
  <c r="B56" i="6"/>
  <c r="B55" i="6"/>
  <c r="B54" i="6"/>
  <c r="B53" i="6"/>
  <c r="B52" i="6"/>
  <c r="B48" i="6"/>
  <c r="B47" i="6"/>
  <c r="B46" i="6"/>
  <c r="B45" i="6"/>
  <c r="B44" i="6"/>
  <c r="B43" i="6"/>
  <c r="B42" i="6"/>
  <c r="B41" i="6"/>
  <c r="B28" i="6"/>
  <c r="B27" i="6"/>
  <c r="B26" i="6"/>
  <c r="B25" i="6"/>
  <c r="B24" i="6"/>
  <c r="B23" i="6"/>
  <c r="B22" i="6"/>
  <c r="B21" i="6"/>
  <c r="B17" i="6"/>
  <c r="B16" i="6"/>
  <c r="B15" i="6"/>
  <c r="B14" i="6"/>
  <c r="B13" i="6"/>
  <c r="B12" i="6"/>
  <c r="B11" i="6"/>
  <c r="B10" i="6"/>
  <c r="B9" i="6"/>
  <c r="B4" i="6"/>
  <c r="B3" i="6"/>
  <c r="B36" i="6" l="1"/>
  <c r="B37" i="6"/>
  <c r="B5" i="6"/>
  <c r="B32" i="6"/>
  <c r="B33" i="6"/>
  <c r="B34" i="6"/>
  <c r="B35" i="6"/>
</calcChain>
</file>

<file path=xl/sharedStrings.xml><?xml version="1.0" encoding="utf-8"?>
<sst xmlns="http://schemas.openxmlformats.org/spreadsheetml/2006/main" count="96" uniqueCount="91">
  <si>
    <t>Label</t>
  </si>
  <si>
    <t>Value</t>
  </si>
  <si>
    <t>SPX Spot</t>
  </si>
  <si>
    <t>ES1 Future</t>
  </si>
  <si>
    <t>Tenor</t>
  </si>
  <si>
    <t>Rate (%)</t>
  </si>
  <si>
    <t>T (yrs)</t>
  </si>
  <si>
    <t>Overnight</t>
  </si>
  <si>
    <t>1M</t>
  </si>
  <si>
    <t>3M</t>
  </si>
  <si>
    <t>6M</t>
  </si>
  <si>
    <t>1Y</t>
  </si>
  <si>
    <t>2Y</t>
  </si>
  <si>
    <t>3Y</t>
  </si>
  <si>
    <t>5Y</t>
  </si>
  <si>
    <t>10Y</t>
  </si>
  <si>
    <t>Year</t>
  </si>
  <si>
    <t>Expiry</t>
  </si>
  <si>
    <t>Settle date</t>
  </si>
  <si>
    <t>SPOT &amp; FUTURES  (live Bloomberg)</t>
  </si>
  <si>
    <t>Bloomberg formula</t>
  </si>
  <si>
    <t>BDP("SPX Index","PX_LAST")</t>
  </si>
  <si>
    <t>BDP("ES1 Index","PX_LAST")</t>
  </si>
  <si>
    <t>ES Basis</t>
  </si>
  <si>
    <t>SOFR CURVE  (all 9 tenors live and confirmed)</t>
  </si>
  <si>
    <t>Ticker and field</t>
  </si>
  <si>
    <t>SOFRRATE Index  [PX_LAST]  SOFR overnight fixing (FRBNY)</t>
  </si>
  <si>
    <t>TSFR1M Index  [PX_LAST]  CME Term SOFR 1M</t>
  </si>
  <si>
    <t>TSFR3M Index  [PX_LAST]  CME Term SOFR 3M</t>
  </si>
  <si>
    <t>TSFR6M Index  [PX_LAST]  CME Term SOFR 6M</t>
  </si>
  <si>
    <t>USSO1 Curncy  [LAST_PRICE]  USD SOFR OIS swap 1Y</t>
  </si>
  <si>
    <t>USSO2 Curncy  [LAST_PRICE]  USD SOFR OIS swap 2Y</t>
  </si>
  <si>
    <t>USSO3 Curncy  [LAST_PRICE]  USD SOFR OIS swap 3Y</t>
  </si>
  <si>
    <t>USSO5 Curncy  [LAST_PRICE]  USD SOFR OIS swap 5Y</t>
  </si>
  <si>
    <t>USSO10 Curncy  [LAST_PRICE]  USD SOFR OIS swap 10Y</t>
  </si>
  <si>
    <t>Div Yield %</t>
  </si>
  <si>
    <t>Borrow (bps)</t>
  </si>
  <si>
    <t>Auto: ES minus SPX.  Override manually if needed.</t>
  </si>
  <si>
    <t>RAW ASD STRIP  (CME S&amp;P 500 Annual Dividend futures, live)</t>
  </si>
  <si>
    <t>ASD (pts)</t>
  </si>
  <si>
    <t>ASDZ26</t>
  </si>
  <si>
    <t>ASDZ26 Index  [LAST_PRICE]  S&amp;P 500 annual dividend points for 2026</t>
  </si>
  <si>
    <t>ASDZ27</t>
  </si>
  <si>
    <t>ASDZ27 Index  [LAST_PRICE]  S&amp;P 500 annual dividend points for 2027</t>
  </si>
  <si>
    <t>ASDZ28</t>
  </si>
  <si>
    <t>ASDZ28 Index  [LAST_PRICE]  S&amp;P 500 annual dividend points for 2028</t>
  </si>
  <si>
    <t>ASDZ29</t>
  </si>
  <si>
    <t>ASDZ29 Index  [LAST_PRICE]  S&amp;P 500 annual dividend points for 2029</t>
  </si>
  <si>
    <t>ASDZ30</t>
  </si>
  <si>
    <t>ASDZ30 Index  [LAST_PRICE]  S&amp;P 500 annual dividend points for 2030</t>
  </si>
  <si>
    <t>ASDZ31</t>
  </si>
  <si>
    <t>ASDZ31 Index  [LAST_PRICE]  S&amp;P 500 annual dividend points for 2031</t>
  </si>
  <si>
    <t>ASDZ32</t>
  </si>
  <si>
    <t>ASDZ32 Index  [LAST_PRICE]  S&amp;P 500 annual dividend points for 2032</t>
  </si>
  <si>
    <t>ASDZ33</t>
  </si>
  <si>
    <t>ASDZ33 Index  [LAST_PRICE]  S&amp;P 500 annual dividend points for 2033</t>
  </si>
  <si>
    <t>DIVIDEND YIELD PER EXPIRY  (% ann — LIVE from ASD/SPX)</t>
  </si>
  <si>
    <t>Formula: =ASD_cell/SPX_cell*100  (annual yield for primary expiry year). Override by typing a number.  Source: CME ASDZ futures (delayed).</t>
  </si>
  <si>
    <t>Formula: ASD_Z26 / SPX * 100  (primary-year yield; type a number to override)</t>
  </si>
  <si>
    <t>Formula: ASD_Z27 / SPX * 100  (primary-year yield; type a number to override)</t>
  </si>
  <si>
    <t>Formula: ASD_Z28 / SPX * 100  (primary-year yield; type a number to override)</t>
  </si>
  <si>
    <t>Formula: ASD_Z29 / SPX * 100  (primary-year yield; type a number to override)</t>
  </si>
  <si>
    <t>Formula: ASD_Z30 / SPX * 100  (primary-year yield; type a number to override)</t>
  </si>
  <si>
    <t>AXWZ26</t>
  </si>
  <si>
    <t>AXWZ27</t>
  </si>
  <si>
    <t>AXWZ28</t>
  </si>
  <si>
    <t>AXWZ29</t>
  </si>
  <si>
    <t>AXWZ30</t>
  </si>
  <si>
    <t>AXWZ31</t>
  </si>
  <si>
    <t>AXWZ32</t>
  </si>
  <si>
    <t>AXWZ33</t>
  </si>
  <si>
    <t>Formula: AXW_Z26  (assumed bps; Python divides by 10000; type a number to override)</t>
  </si>
  <si>
    <t>Formula: AXW_Z27  (assumed bps; Python divides by 10000; type a number to override)</t>
  </si>
  <si>
    <t>Formula: AXW_Z28  (assumed bps; Python divides by 10000; type a number to override)</t>
  </si>
  <si>
    <t>Formula: AXW_Z29  (assumed bps; Python divides by 10000; type a number to override)</t>
  </si>
  <si>
    <t>Formula: AXW_Z30  (assumed bps; Python divides by 10000; type a number to override)</t>
  </si>
  <si>
    <t>Formula: ASD_Z31 / SPX * 100  (primary-year yield; type a number to override)</t>
  </si>
  <si>
    <t>RAW AXW STRIP  (CME AIR futures, live — quoted in bps)</t>
  </si>
  <si>
    <t>AXW (bps)</t>
  </si>
  <si>
    <t>AXWZ26 Index  [LAST_PRICE]  AIR implied return for 2026 — bps</t>
  </si>
  <si>
    <t>AXWZ27 Index  [LAST_PRICE]  AIR implied return for 2027 — bps</t>
  </si>
  <si>
    <t>AXWZ28 Index  [LAST_PRICE]  AIR implied return for 2028 — bps</t>
  </si>
  <si>
    <t>AXWZ29 Index  [LAST_PRICE]  AIR implied return for 2029 — bps</t>
  </si>
  <si>
    <t>AXWZ30 Index  [LAST_PRICE]  AIR implied return for 2030 — bps</t>
  </si>
  <si>
    <t>AXWZ31 Index  [LAST_PRICE]  AIR implied return for 2031 — bps</t>
  </si>
  <si>
    <t>AXWZ32 Index  [LAST_PRICE]  AIR implied return for 2032 — bps</t>
  </si>
  <si>
    <t>AXWZ33 Index  [LAST_PRICE]  AIR implied return for 2033 — bps</t>
  </si>
  <si>
    <t>BORROW PER EXPIRY  (bps — LIVE from AXW)</t>
  </si>
  <si>
    <t>Formula: =AXWZxx  (bps, confirmed). Python divides by 10000. Type to override.</t>
  </si>
  <si>
    <t>Formula: AXW_Z31  (assumed bps; Python divides by 10000; type a number to override)</t>
  </si>
  <si>
    <t>INSTRUCTIONS: SOFR, ASD, and AXW cells update live via Bloomberg (delayed CME sub). Blue cells = live raw Bloomberg feed. Green cells = computed from live feed (can be manually overridden by typing). If any cell shows #N/A: press Ctrl+Alt+F9.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</si>
</sst>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1F497D"/>
      <name val="Aptos Narrow"/>
      <family val="2"/>
      <scheme val="minor"/>
    </font>
    <font>
      <i/>
      <sz val="11"/>
      <color rgb="FF606060"/>
      <name val="Aptos Narrow"/>
      <family val="2"/>
      <scheme val="minor"/>
    </font>
    <font>
      <sz val="11"/>
      <color rgb="FFC05000"/>
      <name val="Aptos Narrow"/>
      <family val="2"/>
      <scheme val="minor"/>
    </font>
    <font>
      <i/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0F4FF"/>
        <bgColor indexed="64"/>
      </patternFill>
    </fill>
    <fill>
      <patternFill patternType="solid">
        <fgColor rgb="FFDDEEFF"/>
        <bgColor indexed="64"/>
      </patternFill>
    </fill>
    <fill>
      <patternFill patternType="solid">
        <fgColor rgb="FFDDFF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16" fontId="0" fillId="0" borderId="0" xfId="0" applyNumberFormat="1"/>
    <xf numFmtId="14" fontId="0" fillId="0" borderId="0" xfId="0" applyNumberFormat="1"/>
    <xf numFmtId="0" fontId="3" fillId="0" borderId="0" xfId="0" applyFont="1"/>
    <xf numFmtId="0" fontId="4" fillId="0" borderId="0" xfId="0" applyFont="1"/>
    <xf numFmtId="0" fontId="0" fillId="0" borderId="0" xfId="0"/>
    <xf numFmtId="0" fontId="5" fillId="2" borderId="0" xfId="0" applyFon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>
        <v>82.8</v>
        <stp/>
        <stp>BDP|7878534611578556565|22</stp>
        <stp>ASDZ26 Index</stp>
        <stp>LAST_PRICE</stp>
        <tr r="B21" s="6"/>
      </tp>
      <tp t="s">
        <v>#N/A N/A</v>
        <stp/>
        <stp>BDP|12678673555369937621</stp>
        <tr r="B12" s="6"/>
      </tp>
      <tp t="s">
        <v>#N/A N/A</v>
        <stp/>
        <stp>BDP|14889538381691196697</stp>
        <tr r="B41" s="6"/>
      </tp>
      <tp t="s">
        <v>#N/A N/A</v>
        <stp/>
        <stp>BDP|15309081109659083342</stp>
        <tr r="B43" s="6"/>
      </tp>
      <tp t="s">
        <v>#N/A N/A</v>
        <stp/>
        <stp>BDP|13697416192263329156</stp>
        <tr r="B48" s="6"/>
      </tp>
      <tp>
        <v>83.5</v>
        <stp/>
        <stp>BDP|2303003539269339487|22</stp>
        <stp>ASDZ32 Index</stp>
        <stp>LAST_PRICE</stp>
        <tr r="B27" s="6"/>
      </tp>
      <tp t="s">
        <v>#N/A N/A</v>
        <stp/>
        <stp>BDP|10809602301832577950</stp>
        <tr r="B47" s="6"/>
      </tp>
      <tp t="s">
        <v>#N/A N/A</v>
        <stp/>
        <stp>BDP|15744960734425273976</stp>
        <tr r="B3" s="6"/>
      </tp>
      <tp t="s">
        <v>#N/A N/A</v>
        <stp/>
        <stp>BDP|17168380268651504035</stp>
        <tr r="B46" s="6"/>
      </tp>
      <tp>
        <v>84.3</v>
        <stp/>
        <stp>BDP|1413500738988198970|22</stp>
        <stp>ASDZ31 Index</stp>
        <stp>LAST_PRICE</stp>
        <tr r="B26" s="6"/>
      </tp>
      <tp>
        <v>84.05</v>
        <stp/>
        <stp>BDP|2787565779922831077|22</stp>
        <stp>ASDZ33 Index</stp>
        <stp>LAST_PRICE</stp>
        <tr r="B28" s="6"/>
      </tp>
      <tp t="s">
        <v>#N/A N/A</v>
        <stp/>
        <stp>BDP|14039659900824070148</stp>
        <tr r="B4" s="6"/>
      </tp>
      <tp>
        <v>3.7094499999999999</v>
        <stp/>
        <stp>BDP|1648167585563371207|22</stp>
        <stp>USSO1 Curncy</stp>
        <stp>LAST_PRICE</stp>
        <tr r="B13" s="6"/>
      </tp>
      <tp t="s">
        <v>#N/A N/A</v>
        <stp/>
        <stp>BDP|12578957311568403647</stp>
        <tr r="B11" s="6"/>
      </tp>
      <tp>
        <v>84</v>
        <stp/>
        <stp>BDP|148348877385987763|22</stp>
        <stp>ASDZ28 Index</stp>
        <stp>LAST_PRICE</stp>
        <tr r="B23" s="6"/>
      </tp>
      <tp>
        <v>3.6853500000000001</v>
        <stp/>
        <stp>BDP|832254139366759493|22</stp>
        <stp>USSO2 Curncy</stp>
        <stp>LAST_PRICE</stp>
        <tr r="B14" s="6"/>
      </tp>
      <tp>
        <v>3.8903500000000002</v>
        <stp/>
        <stp>BDP|14993615526691709244|22</stp>
        <stp>USSO10 Curncy</stp>
        <stp>LAST_PRICE</stp>
        <tr r="B17" s="6"/>
      </tp>
      <tp>
        <v>3.6746699999999999</v>
        <stp/>
        <stp>BDP|10427889647679115645|22</stp>
        <stp>USSO5 Curncy</stp>
        <stp>LAST_PRICE</stp>
        <tr r="B16" s="6"/>
      </tp>
      <tp>
        <v>3.6476999999999999</v>
        <stp/>
        <stp>BDP|16121042901711411537|22</stp>
        <stp>USSO3 Curncy</stp>
        <stp>LAST_PRICE</stp>
        <tr r="B15" s="6"/>
      </tp>
      <tp>
        <v>84.1</v>
        <stp/>
        <stp>BDP|11894256252373477201|22</stp>
        <stp>ASDZ29 Index</stp>
        <stp>LAST_PRICE</stp>
        <tr r="B24" s="6"/>
      </tp>
      <tp>
        <v>83.85</v>
        <stp/>
        <stp>BDP|16050528964999414439|22</stp>
        <stp>ASDZ27 Index</stp>
        <stp>LAST_PRICE</stp>
        <tr r="B22" s="6"/>
      </tp>
      <tp>
        <v>83.9</v>
        <stp/>
        <stp>BDP|18170906100959441903|22</stp>
        <stp>ASDZ30 Index</stp>
        <stp>LAST_PRICE</stp>
        <tr r="B25" s="6"/>
      </tp>
      <tp t="s">
        <v>#N/A N/A</v>
        <stp/>
        <stp>BDP|5332979954861506725</stp>
        <tr r="B42" s="6"/>
      </tp>
      <tp t="s">
        <v>#N/A N/A</v>
        <stp/>
        <stp>BDP|4224650820402433742</stp>
        <tr r="B9" s="6"/>
      </tp>
      <tp t="s">
        <v>#N/A N/A</v>
        <stp/>
        <stp>BDP|1734089309331355658</stp>
        <tr r="B44" s="6"/>
      </tp>
      <tp t="s">
        <v>#N/A N/A</v>
        <stp/>
        <stp>BDP|1923291213087514561</stp>
        <tr r="B45" s="6"/>
      </tp>
      <tp t="s">
        <v>#N/A N/A</v>
        <stp/>
        <stp>BDP|3367470643508999987</stp>
        <tr r="B10" s="6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DC8B3-A683-4F23-9311-F17958474864}">
  <dimension ref="A1"/>
  <sheetViews>
    <sheetView workbookViewId="0">
      <selection activeCell="F24" sqref="F24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73893-FC90-444C-B9D2-4BBA24A9AFDC}">
  <dimension ref="A1:D60"/>
  <sheetViews>
    <sheetView tabSelected="1" workbookViewId="0"/>
  </sheetViews>
  <sheetFormatPr defaultRowHeight="15" x14ac:dyDescent="0.25"/>
  <cols>
    <col min="1" max="1" width="18.7109375" customWidth="1"/>
    <col min="2" max="2" width="16.7109375" customWidth="1"/>
    <col min="3" max="3" width="14.7109375" customWidth="1"/>
    <col min="4" max="4" width="52.7109375" customWidth="1"/>
  </cols>
  <sheetData>
    <row r="1" spans="1:4" x14ac:dyDescent="0.25">
      <c r="A1" s="2" t="s">
        <v>19</v>
      </c>
    </row>
    <row r="2" spans="1:4" x14ac:dyDescent="0.25">
      <c r="A2" s="1" t="s">
        <v>0</v>
      </c>
      <c r="B2" s="1" t="s">
        <v>1</v>
      </c>
      <c r="C2" s="1"/>
      <c r="D2" s="1" t="s">
        <v>20</v>
      </c>
    </row>
    <row r="3" spans="1:4" x14ac:dyDescent="0.25">
      <c r="A3" t="s">
        <v>2</v>
      </c>
      <c r="B3">
        <f>_xll.BDP("SPX Index","PX_LAST")</f>
        <v>7312.5</v>
      </c>
      <c r="D3" s="5" t="s">
        <v>21</v>
      </c>
    </row>
    <row r="4" spans="1:4" x14ac:dyDescent="0.25">
      <c r="A4" t="s">
        <v>3</v>
      </c>
      <c r="B4">
        <f>_xll.BDP("ES1 Index","PX_LAST")</f>
        <v>7350.75</v>
      </c>
      <c r="D4" s="5" t="s">
        <v>22</v>
      </c>
    </row>
    <row r="5" spans="1:4" x14ac:dyDescent="0.25">
      <c r="A5" t="s">
        <v>23</v>
      </c>
      <c r="B5">
        <f>B4-B3</f>
        <v>38.25</v>
      </c>
      <c r="D5" s="5" t="s">
        <v>37</v>
      </c>
    </row>
    <row r="7" spans="1:4" x14ac:dyDescent="0.25">
      <c r="A7" s="2" t="s">
        <v>24</v>
      </c>
    </row>
    <row r="8" spans="1:4" x14ac:dyDescent="0.25">
      <c r="A8" s="1" t="s">
        <v>4</v>
      </c>
      <c r="B8" s="1" t="s">
        <v>5</v>
      </c>
      <c r="C8" s="1" t="s">
        <v>6</v>
      </c>
      <c r="D8" s="1" t="s">
        <v>25</v>
      </c>
    </row>
    <row r="9" spans="1:4" x14ac:dyDescent="0.25">
      <c r="A9" t="s">
        <v>7</v>
      </c>
      <c r="B9">
        <f>_xll.BDP("SOFRRATE Index","PX_LAST")</f>
        <v>3.62</v>
      </c>
      <c r="C9">
        <v>2.7000000000000001E-3</v>
      </c>
      <c r="D9" s="5" t="s">
        <v>26</v>
      </c>
    </row>
    <row r="10" spans="1:4" x14ac:dyDescent="0.25">
      <c r="A10" t="s">
        <v>8</v>
      </c>
      <c r="B10">
        <f>_xll.BDP("TSFR1M Index","PX_LAST")</f>
        <v>3.6426500000000002</v>
      </c>
      <c r="C10">
        <v>8.3000000000000004E-2</v>
      </c>
      <c r="D10" s="5" t="s">
        <v>27</v>
      </c>
    </row>
    <row r="11" spans="1:4" x14ac:dyDescent="0.25">
      <c r="A11" t="s">
        <v>9</v>
      </c>
      <c r="B11">
        <f>_xll.BDP("TSFR3M Index","PX_LAST")</f>
        <v>3.65665</v>
      </c>
      <c r="C11">
        <v>0.25</v>
      </c>
      <c r="D11" s="5" t="s">
        <v>28</v>
      </c>
    </row>
    <row r="12" spans="1:4" x14ac:dyDescent="0.25">
      <c r="A12" t="s">
        <v>10</v>
      </c>
      <c r="B12">
        <f>_xll.BDP("TSFR6M Index","PX_LAST")</f>
        <v>3.6842000000000001</v>
      </c>
      <c r="C12">
        <v>0.5</v>
      </c>
      <c r="D12" s="5" t="s">
        <v>29</v>
      </c>
    </row>
    <row r="13" spans="1:4" x14ac:dyDescent="0.25">
      <c r="A13" t="s">
        <v>11</v>
      </c>
      <c r="B13">
        <f>_xll.BDP("USSO1 Curncy","LAST_PRICE")</f>
        <v>3.7094499999999999</v>
      </c>
      <c r="C13">
        <v>1</v>
      </c>
      <c r="D13" s="5" t="s">
        <v>30</v>
      </c>
    </row>
    <row r="14" spans="1:4" x14ac:dyDescent="0.25">
      <c r="A14" t="s">
        <v>12</v>
      </c>
      <c r="B14">
        <f>_xll.BDP("USSO2 Curncy","LAST_PRICE")</f>
        <v>3.6853500000000001</v>
      </c>
      <c r="C14">
        <v>2</v>
      </c>
      <c r="D14" s="5" t="s">
        <v>31</v>
      </c>
    </row>
    <row r="15" spans="1:4" x14ac:dyDescent="0.25">
      <c r="A15" t="s">
        <v>13</v>
      </c>
      <c r="B15">
        <f>_xll.BDP("USSO3 Curncy","LAST_PRICE")</f>
        <v>3.6476999999999999</v>
      </c>
      <c r="C15">
        <v>3</v>
      </c>
      <c r="D15" s="5" t="s">
        <v>32</v>
      </c>
    </row>
    <row r="16" spans="1:4" x14ac:dyDescent="0.25">
      <c r="A16" t="s">
        <v>14</v>
      </c>
      <c r="B16">
        <f>_xll.BDP("USSO5 Curncy","LAST_PRICE")</f>
        <v>3.6746699999999999</v>
      </c>
      <c r="C16">
        <v>5</v>
      </c>
      <c r="D16" s="5" t="s">
        <v>33</v>
      </c>
    </row>
    <row r="17" spans="1:4" x14ac:dyDescent="0.25">
      <c r="A17" t="s">
        <v>15</v>
      </c>
      <c r="B17">
        <f>_xll.BDP("USSO10 Curncy","LAST_PRICE")</f>
        <v>3.8903500000000002</v>
      </c>
      <c r="C17">
        <v>10</v>
      </c>
      <c r="D17" s="5" t="s">
        <v>34</v>
      </c>
    </row>
    <row r="19" spans="1:4" x14ac:dyDescent="0.25">
      <c r="A19" s="2" t="s">
        <v>38</v>
      </c>
    </row>
    <row r="20" spans="1:4" x14ac:dyDescent="0.25">
      <c r="A20" s="1" t="s">
        <v>16</v>
      </c>
      <c r="B20" s="1" t="s">
        <v>39</v>
      </c>
      <c r="C20" s="1"/>
      <c r="D20" s="1" t="s">
        <v>25</v>
      </c>
    </row>
    <row r="21" spans="1:4" x14ac:dyDescent="0.25">
      <c r="A21" t="s">
        <v>40</v>
      </c>
      <c r="B21" s="9">
        <f>_xll.BDP("ASDZ26 Index","LAST_PRICE")</f>
        <v>82.8</v>
      </c>
      <c r="D21" s="5" t="s">
        <v>41</v>
      </c>
    </row>
    <row r="22" spans="1:4" x14ac:dyDescent="0.25">
      <c r="A22" t="s">
        <v>42</v>
      </c>
      <c r="B22" s="9">
        <f>_xll.BDP("ASDZ27 Index","LAST_PRICE")</f>
        <v>83.85</v>
      </c>
      <c r="D22" s="5" t="s">
        <v>43</v>
      </c>
    </row>
    <row r="23" spans="1:4" x14ac:dyDescent="0.25">
      <c r="A23" t="s">
        <v>44</v>
      </c>
      <c r="B23" s="9">
        <f>_xll.BDP("ASDZ28 Index","LAST_PRICE")</f>
        <v>84</v>
      </c>
      <c r="D23" s="5" t="s">
        <v>45</v>
      </c>
    </row>
    <row r="24" spans="1:4" x14ac:dyDescent="0.25">
      <c r="A24" t="s">
        <v>46</v>
      </c>
      <c r="B24" s="9">
        <f>_xll.BDP("ASDZ29 Index","LAST_PRICE")</f>
        <v>84.1</v>
      </c>
      <c r="D24" s="5" t="s">
        <v>47</v>
      </c>
    </row>
    <row r="25" spans="1:4" x14ac:dyDescent="0.25">
      <c r="A25" t="s">
        <v>48</v>
      </c>
      <c r="B25" s="9">
        <f>_xll.BDP("ASDZ30 Index","LAST_PRICE")</f>
        <v>83.9</v>
      </c>
      <c r="D25" s="5" t="s">
        <v>49</v>
      </c>
    </row>
    <row r="26" spans="1:4" x14ac:dyDescent="0.25">
      <c r="A26" t="s">
        <v>50</v>
      </c>
      <c r="B26" s="9">
        <f>_xll.BDP("ASDZ31 Index","LAST_PRICE")</f>
        <v>84.3</v>
      </c>
      <c r="D26" s="5" t="s">
        <v>51</v>
      </c>
    </row>
    <row r="27" spans="1:4" x14ac:dyDescent="0.25">
      <c r="A27" t="s">
        <v>52</v>
      </c>
      <c r="B27" s="9">
        <f>_xll.BDP("ASDZ32 Index","LAST_PRICE")</f>
        <v>83.5</v>
      </c>
      <c r="D27" s="5" t="s">
        <v>53</v>
      </c>
    </row>
    <row r="28" spans="1:4" x14ac:dyDescent="0.25">
      <c r="A28" t="s">
        <v>54</v>
      </c>
      <c r="B28" s="9">
        <f>_xll.BDP("ASDZ33 Index","LAST_PRICE")</f>
        <v>84.05</v>
      </c>
      <c r="D28" s="5" t="s">
        <v>55</v>
      </c>
    </row>
    <row r="30" spans="1:4" x14ac:dyDescent="0.25">
      <c r="A30" s="2" t="s">
        <v>56</v>
      </c>
    </row>
    <row r="31" spans="1:4" x14ac:dyDescent="0.25">
      <c r="A31" s="1" t="s">
        <v>17</v>
      </c>
      <c r="B31" s="1" t="s">
        <v>35</v>
      </c>
      <c r="C31" s="1" t="s">
        <v>18</v>
      </c>
      <c r="D31" s="6" t="s">
        <v>57</v>
      </c>
    </row>
    <row r="32" spans="1:4" x14ac:dyDescent="0.25">
      <c r="A32" s="3">
        <v>46382</v>
      </c>
      <c r="B32" s="10">
        <f>B21/B3*100</f>
        <v>1.1323076923076925</v>
      </c>
      <c r="C32" s="4">
        <v>46374</v>
      </c>
      <c r="D32" s="5" t="s">
        <v>58</v>
      </c>
    </row>
    <row r="33" spans="1:4" x14ac:dyDescent="0.25">
      <c r="A33" s="3">
        <v>46383</v>
      </c>
      <c r="B33" s="10">
        <f>B22/B3*100</f>
        <v>1.1466666666666667</v>
      </c>
      <c r="C33" s="4">
        <v>46740</v>
      </c>
      <c r="D33" s="5" t="s">
        <v>59</v>
      </c>
    </row>
    <row r="34" spans="1:4" x14ac:dyDescent="0.25">
      <c r="A34" s="3">
        <v>46384</v>
      </c>
      <c r="B34" s="10">
        <f>B23/B3*100</f>
        <v>1.1487179487179489</v>
      </c>
      <c r="C34" s="4">
        <v>47102</v>
      </c>
      <c r="D34" s="5" t="s">
        <v>60</v>
      </c>
    </row>
    <row r="35" spans="1:4" x14ac:dyDescent="0.25">
      <c r="A35" s="3">
        <v>46385</v>
      </c>
      <c r="B35" s="10">
        <f>B24/B3*100</f>
        <v>1.1500854700854701</v>
      </c>
      <c r="C35" s="4">
        <v>47473</v>
      </c>
      <c r="D35" s="5" t="s">
        <v>61</v>
      </c>
    </row>
    <row r="36" spans="1:4" x14ac:dyDescent="0.25">
      <c r="A36" s="3">
        <v>46386</v>
      </c>
      <c r="B36" s="10">
        <f>B25/B3*100</f>
        <v>1.1473504273504274</v>
      </c>
      <c r="C36" s="4">
        <v>47837</v>
      </c>
      <c r="D36" s="5" t="s">
        <v>62</v>
      </c>
    </row>
    <row r="37" spans="1:4" x14ac:dyDescent="0.25">
      <c r="A37" s="3">
        <v>46387</v>
      </c>
      <c r="B37" s="10">
        <f>B26/B3*100</f>
        <v>1.1528205128205129</v>
      </c>
      <c r="C37" s="4">
        <v>48201</v>
      </c>
      <c r="D37" s="5" t="s">
        <v>76</v>
      </c>
    </row>
    <row r="39" spans="1:4" x14ac:dyDescent="0.25">
      <c r="A39" s="2" t="s">
        <v>77</v>
      </c>
    </row>
    <row r="40" spans="1:4" x14ac:dyDescent="0.25">
      <c r="A40" s="1" t="s">
        <v>16</v>
      </c>
      <c r="B40" s="1" t="s">
        <v>78</v>
      </c>
      <c r="C40" s="1"/>
      <c r="D40" s="1" t="s">
        <v>25</v>
      </c>
    </row>
    <row r="41" spans="1:4" x14ac:dyDescent="0.25">
      <c r="A41" t="s">
        <v>63</v>
      </c>
      <c r="B41" s="9" t="str">
        <f>_xll.BDP("AXWZ26 Index","LAST_PRICE")</f>
        <v>#N/A Requesting Data...</v>
      </c>
      <c r="D41" s="5" t="s">
        <v>79</v>
      </c>
    </row>
    <row r="42" spans="1:4" x14ac:dyDescent="0.25">
      <c r="A42" t="s">
        <v>64</v>
      </c>
      <c r="B42" s="9" t="str">
        <f>_xll.BDP("AXWZ27 Index","LAST_PRICE")</f>
        <v>#N/A Requesting Data...</v>
      </c>
      <c r="D42" s="5" t="s">
        <v>80</v>
      </c>
    </row>
    <row r="43" spans="1:4" x14ac:dyDescent="0.25">
      <c r="A43" t="s">
        <v>65</v>
      </c>
      <c r="B43" s="9" t="str">
        <f>_xll.BDP("AXWZ28 Index","LAST_PRICE")</f>
        <v>#N/A Requesting Data...</v>
      </c>
      <c r="D43" s="5" t="s">
        <v>81</v>
      </c>
    </row>
    <row r="44" spans="1:4" x14ac:dyDescent="0.25">
      <c r="A44" t="s">
        <v>66</v>
      </c>
      <c r="B44" s="9" t="str">
        <f>_xll.BDP("AXWZ29 Index","LAST_PRICE")</f>
        <v>#N/A Requesting Data...</v>
      </c>
      <c r="D44" s="5" t="s">
        <v>82</v>
      </c>
    </row>
    <row r="45" spans="1:4" x14ac:dyDescent="0.25">
      <c r="A45" t="s">
        <v>67</v>
      </c>
      <c r="B45" s="9" t="str">
        <f>_xll.BDP("AXWZ30 Index","LAST_PRICE")</f>
        <v>#N/A Requesting Data...</v>
      </c>
      <c r="D45" s="5" t="s">
        <v>83</v>
      </c>
    </row>
    <row r="46" spans="1:4" x14ac:dyDescent="0.25">
      <c r="A46" t="s">
        <v>68</v>
      </c>
      <c r="B46" s="9" t="str">
        <f>_xll.BDP("AXWZ31 Index","LAST_PRICE")</f>
        <v>#N/A Requesting Data...</v>
      </c>
      <c r="D46" s="5" t="s">
        <v>84</v>
      </c>
    </row>
    <row r="47" spans="1:4" x14ac:dyDescent="0.25">
      <c r="A47" t="s">
        <v>69</v>
      </c>
      <c r="B47" s="9" t="str">
        <f>_xll.BDP("AXWZ32 Index","LAST_PRICE")</f>
        <v>#N/A Requesting Data...</v>
      </c>
      <c r="D47" s="5" t="s">
        <v>85</v>
      </c>
    </row>
    <row r="48" spans="1:4" x14ac:dyDescent="0.25">
      <c r="A48" t="s">
        <v>70</v>
      </c>
      <c r="B48" s="9" t="str">
        <f>_xll.BDP("AXWZ33 Index","LAST_PRICE")</f>
        <v>#N/A Requesting Data...</v>
      </c>
      <c r="D48" s="5" t="s">
        <v>86</v>
      </c>
    </row>
    <row r="50" spans="1:4" x14ac:dyDescent="0.25">
      <c r="A50" s="2" t="s">
        <v>87</v>
      </c>
    </row>
    <row r="51" spans="1:4" x14ac:dyDescent="0.25">
      <c r="A51" s="1" t="s">
        <v>17</v>
      </c>
      <c r="B51" s="1" t="s">
        <v>36</v>
      </c>
      <c r="C51" s="1" t="s">
        <v>18</v>
      </c>
      <c r="D51" t="s">
        <v>88</v>
      </c>
    </row>
    <row r="52" spans="1:4" x14ac:dyDescent="0.25">
      <c r="A52" s="3">
        <v>46382</v>
      </c>
      <c r="B52" s="10" t="str">
        <f>B41</f>
        <v>#N/A Requesting Data...</v>
      </c>
      <c r="C52" s="4">
        <v>46374</v>
      </c>
      <c r="D52" s="5" t="s">
        <v>71</v>
      </c>
    </row>
    <row r="53" spans="1:4" x14ac:dyDescent="0.25">
      <c r="A53" s="3">
        <v>46383</v>
      </c>
      <c r="B53" s="10" t="str">
        <f>B42</f>
        <v>#N/A Requesting Data...</v>
      </c>
      <c r="C53" s="4">
        <v>46740</v>
      </c>
      <c r="D53" s="5" t="s">
        <v>72</v>
      </c>
    </row>
    <row r="54" spans="1:4" x14ac:dyDescent="0.25">
      <c r="A54" s="3">
        <v>46384</v>
      </c>
      <c r="B54" s="10" t="str">
        <f>B43</f>
        <v>#N/A Requesting Data...</v>
      </c>
      <c r="C54" s="4">
        <v>47102</v>
      </c>
      <c r="D54" s="5" t="s">
        <v>73</v>
      </c>
    </row>
    <row r="55" spans="1:4" x14ac:dyDescent="0.25">
      <c r="A55" s="3">
        <v>46385</v>
      </c>
      <c r="B55" s="10" t="str">
        <f>B44</f>
        <v>#N/A Requesting Data...</v>
      </c>
      <c r="C55" s="4">
        <v>47473</v>
      </c>
      <c r="D55" s="5" t="s">
        <v>74</v>
      </c>
    </row>
    <row r="56" spans="1:4" x14ac:dyDescent="0.25">
      <c r="A56" s="3">
        <v>46386</v>
      </c>
      <c r="B56" s="10" t="str">
        <f>B45</f>
        <v>#N/A Requesting Data...</v>
      </c>
      <c r="C56" s="4">
        <v>47837</v>
      </c>
      <c r="D56" s="5" t="s">
        <v>75</v>
      </c>
    </row>
    <row r="57" spans="1:4" x14ac:dyDescent="0.25">
      <c r="A57" s="3">
        <v>46387</v>
      </c>
      <c r="B57" s="10" t="str">
        <f>B46</f>
        <v>#N/A Requesting Data...</v>
      </c>
      <c r="C57" s="4">
        <v>48201</v>
      </c>
      <c r="D57" s="5" t="s">
        <v>89</v>
      </c>
    </row>
    <row r="60" spans="1:4" x14ac:dyDescent="0.25">
      <c r="A60" s="8" t="s">
        <v>90</v>
      </c>
      <c r="B60" s="7"/>
      <c r="C60" s="7"/>
      <c r="D60" s="7"/>
    </row>
  </sheetData>
  <mergeCells count="1">
    <mergeCell ref="A60:D6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BBG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Shooter</dc:creator>
  <cp:lastModifiedBy>Sam Shooter</cp:lastModifiedBy>
  <dcterms:created xsi:type="dcterms:W3CDTF">2026-05-05T08:05:27Z</dcterms:created>
  <dcterms:modified xsi:type="dcterms:W3CDTF">2026-05-06T14:22:28Z</dcterms:modified>
</cp:coreProperties>
</file>